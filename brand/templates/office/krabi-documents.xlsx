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ข้อมูลบริษัท" sheetId="1" state="visible" r:id="rId1"/>
    <sheet xmlns:r="http://schemas.openxmlformats.org/officeDocument/2006/relationships" name="ใบเสนอราคา" sheetId="2" state="visible" r:id="rId2"/>
    <sheet xmlns:r="http://schemas.openxmlformats.org/officeDocument/2006/relationships" name="ใบแจ้งหนี้" sheetId="3" state="visible" r:id="rId3"/>
    <sheet xmlns:r="http://schemas.openxmlformats.org/officeDocument/2006/relationships" name="ใบเสร็จรับเงิน" sheetId="4" state="visible" r:id="rId4"/>
  </sheets>
  <definedNames>
    <definedName name="_xlnm.Print_Area" localSheetId="1">'ใบเสนอราคา'!$A$1:$F$55</definedName>
    <definedName name="_xlnm.Print_Area" localSheetId="2">'ใบแจ้งหนี้'!$A$1:$F$55</definedName>
    <definedName name="_xlnm.Print_Area" localSheetId="3">'ใบเสร็จรับเงิน'!$A$1:$F$55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[$-th-TH,107]d mmm yyyy"/>
  </numFmts>
  <fonts count="22">
    <font>
      <name val="Calibri"/>
      <family val="2"/>
      <color theme="1"/>
      <sz val="11"/>
      <scheme val="minor"/>
    </font>
    <font>
      <name val="LINE Seed Sans TH"/>
      <b val="1"/>
      <color rgb="00041A53"/>
      <sz val="14"/>
    </font>
    <font>
      <name val="IBM Plex Sans Thai"/>
      <color rgb="0056627F"/>
      <sz val="10"/>
    </font>
    <font>
      <name val="IBM Plex Sans Thai"/>
      <b val="1"/>
      <color rgb="00041A53"/>
      <sz val="10"/>
    </font>
    <font>
      <name val="IBM Plex Sans Thai"/>
      <b val="1"/>
      <color rgb="000059FF"/>
      <sz val="11"/>
    </font>
    <font>
      <name val="IBM Plex Sans Thai"/>
      <color rgb="000B1633"/>
      <sz val="10"/>
    </font>
    <font>
      <name val="Consolas"/>
      <b val="1"/>
      <color rgb="000059FF"/>
      <sz val="9"/>
    </font>
    <font>
      <name val="LINE Seed Sans TH"/>
      <b val="1"/>
      <color rgb="00041A53"/>
      <sz val="20"/>
    </font>
    <font>
      <name val="LINE Seed Sans TH"/>
      <b val="1"/>
      <color rgb="00041A53"/>
      <sz val="11"/>
    </font>
    <font>
      <name val="IBM Plex Sans Thai"/>
      <color rgb="000B1633"/>
      <sz val="9"/>
    </font>
    <font>
      <name val="IBM Plex Sans Thai"/>
      <color rgb="0056627F"/>
      <sz val="9"/>
    </font>
    <font>
      <name val="Consolas"/>
      <b val="1"/>
      <color rgb="00041A53"/>
      <sz val="10"/>
    </font>
    <font>
      <name val="IBM Plex Sans Thai"/>
      <b val="1"/>
      <color rgb="000059FF"/>
      <sz val="9"/>
    </font>
    <font>
      <name val="IBM Plex Sans Thai"/>
      <color rgb="000B1633"/>
      <sz val="9.5"/>
    </font>
    <font>
      <name val="IBM Plex Sans Thai"/>
      <b val="1"/>
      <color rgb="00FFFFFF"/>
      <sz val="9"/>
    </font>
    <font>
      <name val="IBM Plex Sans Thai"/>
      <color rgb="0056627F"/>
      <sz val="8"/>
    </font>
    <font>
      <name val="IBM Plex Sans Thai"/>
      <color rgb="00041A53"/>
      <sz val="10"/>
    </font>
    <font>
      <name val="IBM Plex Sans Thai"/>
      <color rgb="0056627F"/>
      <sz val="9.5"/>
    </font>
    <font>
      <name val="IBM Plex Sans Thai"/>
      <b val="1"/>
      <color rgb="00FFFFFF"/>
      <sz val="10"/>
    </font>
    <font>
      <name val="LINE Seed Sans TH"/>
      <b val="1"/>
      <color rgb="00FFFFFF"/>
      <sz val="13"/>
    </font>
    <font>
      <name val="IBM Plex Sans Thai"/>
      <b val="1"/>
      <color rgb="00041A53"/>
      <sz val="9.5"/>
    </font>
    <font>
      <name val="LINE Seed Sans TH"/>
      <b val="1"/>
      <color rgb="00041A53"/>
      <sz val="17"/>
    </font>
  </fonts>
  <fills count="6">
    <fill>
      <patternFill/>
    </fill>
    <fill>
      <patternFill patternType="gray125"/>
    </fill>
    <fill>
      <patternFill patternType="solid">
        <fgColor rgb="00EEF3FC"/>
        <bgColor rgb="00EEF3FC"/>
      </patternFill>
    </fill>
    <fill>
      <patternFill patternType="solid">
        <fgColor rgb="00041A53"/>
        <bgColor rgb="00041A53"/>
      </patternFill>
    </fill>
    <fill>
      <patternFill patternType="solid">
        <fgColor rgb="000059FF"/>
        <bgColor rgb="000059FF"/>
      </patternFill>
    </fill>
    <fill>
      <patternFill patternType="solid">
        <fgColor rgb="00FFF8DC"/>
        <bgColor rgb="00FFF8DC"/>
      </patternFill>
    </fill>
  </fills>
  <borders count="6">
    <border>
      <left/>
      <right/>
      <top/>
      <bottom/>
      <diagonal/>
    </border>
    <border>
      <bottom style="thin">
        <color rgb="00DCE3F0"/>
      </bottom>
    </border>
    <border>
      <top style="medium">
        <color rgb="00041A53"/>
      </top>
    </border>
    <border>
      <left style="thin">
        <color rgb="00DCE3F0"/>
      </left>
      <right style="thin">
        <color rgb="00DCE3F0"/>
      </right>
      <top style="thin">
        <color rgb="00DCE3F0"/>
      </top>
      <bottom style="thin">
        <color rgb="00DCE3F0"/>
      </bottom>
    </border>
    <border>
      <bottom style="thin">
        <color rgb="000B1633"/>
      </bottom>
    </border>
    <border>
      <top style="thin">
        <color rgb="00DCE3F0"/>
      </top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/>
    </xf>
    <xf numFmtId="0" fontId="0" fillId="2" borderId="0" pivotButton="0" quotePrefix="0" xfId="0"/>
    <xf numFmtId="0" fontId="9" fillId="0" borderId="0" pivotButton="0" quotePrefix="0" xfId="0"/>
    <xf numFmtId="165" fontId="3" fillId="2" borderId="0" applyAlignment="1" pivotButton="0" quotePrefix="0" xfId="0">
      <alignment horizontal="right"/>
    </xf>
    <xf numFmtId="0" fontId="10" fillId="0" borderId="0" pivotButton="0" quotePrefix="0" xfId="0"/>
    <xf numFmtId="0" fontId="3" fillId="2" borderId="0" applyAlignment="1" pivotButton="0" quotePrefix="0" xfId="0">
      <alignment horizontal="right"/>
    </xf>
    <xf numFmtId="0" fontId="0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  <xf numFmtId="4" fontId="5" fillId="0" borderId="1" applyAlignment="1" pivotButton="0" quotePrefix="0" xfId="0">
      <alignment horizontal="right" vertical="top"/>
    </xf>
    <xf numFmtId="4" fontId="16" fillId="0" borderId="1" applyAlignment="1" pivotButton="0" quotePrefix="0" xfId="0">
      <alignment horizontal="right" vertical="top"/>
    </xf>
    <xf numFmtId="0" fontId="17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0" fontId="3" fillId="2" borderId="0" applyAlignment="1" pivotButton="0" quotePrefix="0" xfId="0">
      <alignment vertical="center" indent="1"/>
    </xf>
    <xf numFmtId="4" fontId="16" fillId="0" borderId="0" applyAlignment="1" pivotButton="0" quotePrefix="0" xfId="0">
      <alignment horizontal="right"/>
    </xf>
    <xf numFmtId="0" fontId="12" fillId="5" borderId="3" applyAlignment="1" pivotButton="0" quotePrefix="0" xfId="0">
      <alignment horizontal="center"/>
    </xf>
    <xf numFmtId="0" fontId="18" fillId="4" borderId="0" applyAlignment="1" pivotButton="0" quotePrefix="0" xfId="0">
      <alignment horizontal="right" vertical="center"/>
    </xf>
    <xf numFmtId="4" fontId="19" fillId="4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2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5" fillId="0" borderId="5" pivotButton="0" quotePrefix="0" xfId="0"/>
    <xf numFmtId="0" fontId="0" fillId="0" borderId="5" pivotButton="0" quotePrefix="0" xfId="0"/>
    <xf numFmtId="0" fontId="2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85937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785937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785937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ข้อมูลบริษัท · แก้ที่นี่ครั้งเดียว ทุกเอกสารดึงไปใช้</t>
        </is>
      </c>
    </row>
    <row r="3">
      <c r="A3" s="2" t="inlineStr">
        <is>
          <t>ชื่อแบรนด์</t>
        </is>
      </c>
      <c r="B3" s="3" t="inlineStr">
        <is>
          <t>Krabi Digital Solutions</t>
        </is>
      </c>
    </row>
    <row r="4">
      <c r="A4" s="2" t="inlineStr">
        <is>
          <t>ชื่อนิติบุคคล</t>
        </is>
      </c>
      <c r="B4" s="3" t="inlineStr">
        <is>
          <t>[ชื่อนิติบุคคลตามที่จดทะเบียน]</t>
        </is>
      </c>
    </row>
    <row r="5">
      <c r="A5" s="2" t="inlineStr">
        <is>
          <t>ที่อยู่</t>
        </is>
      </c>
      <c r="B5" s="3" t="inlineStr">
        <is>
          <t>[ที่อยู่บริษัท] จ.กระบี่ [รหัสไปรษณีย์]</t>
        </is>
      </c>
    </row>
    <row r="6">
      <c r="A6" s="2" t="inlineStr">
        <is>
          <t>เลขประจำตัวผู้เสียภาษี</t>
        </is>
      </c>
      <c r="B6" s="3" t="inlineStr">
        <is>
          <t>[13 หลัก]</t>
        </is>
      </c>
    </row>
    <row r="7">
      <c r="A7" s="2" t="inlineStr">
        <is>
          <t>สาขา</t>
        </is>
      </c>
      <c r="B7" s="3" t="inlineStr">
        <is>
          <t>สำนักงานใหญ่</t>
        </is>
      </c>
    </row>
    <row r="8">
      <c r="A8" s="2" t="inlineStr">
        <is>
          <t>โทร</t>
        </is>
      </c>
      <c r="B8" s="3" t="inlineStr">
        <is>
          <t>080-893-0617</t>
        </is>
      </c>
    </row>
    <row r="9">
      <c r="A9" s="2" t="inlineStr">
        <is>
          <t>อีเมล</t>
        </is>
      </c>
      <c r="B9" s="3" t="inlineStr">
        <is>
          <t>contact@krabitech.com</t>
        </is>
      </c>
    </row>
    <row r="10">
      <c r="A10" s="2" t="inlineStr">
        <is>
          <t>เว็บไซต์</t>
        </is>
      </c>
      <c r="B10" s="3" t="inlineStr">
        <is>
          <t>krabitech.com</t>
        </is>
      </c>
    </row>
    <row r="11">
      <c r="A11" s="2" t="inlineStr">
        <is>
          <t>LINE</t>
        </is>
      </c>
      <c r="B11" s="3" t="inlineStr">
        <is>
          <t>@982ghtqj</t>
        </is>
      </c>
    </row>
    <row r="12" ht="48" customHeight="1">
      <c r="A12" s="2" t="inlineStr">
        <is>
          <t>บัญชีรับเงิน</t>
        </is>
      </c>
      <c r="B12" s="3" t="inlineStr">
        <is>
          <t>ธนาคาร [ชื่อธนาคาร] สาขา [สาขา]
ชื่อบัญชี [ชื่อบัญชี]
เลขที่บัญชี [xxx-x-xxxxx-x]</t>
        </is>
      </c>
    </row>
    <row r="15">
      <c r="A15" s="4" t="inlineStr">
        <is>
          <t>วิธีใช้</t>
        </is>
      </c>
    </row>
    <row r="16">
      <c r="A16" s="5" t="inlineStr">
        <is>
          <t>•  ข้อความใน [วงเล็บเหลี่ยม] คือช่องที่ต้องกรอก</t>
        </is>
      </c>
    </row>
    <row r="17">
      <c r="A17" s="5" t="inlineStr">
        <is>
          <t>•  กรอกข้อมูลลูกค้า รายการ จำนวน ราคา และส่วนลด ช่องจำนวนเงินและยอดรวมคำนวณให้อัตโนมัติ</t>
        </is>
      </c>
    </row>
    <row r="18">
      <c r="A18" s="5" t="inlineStr">
        <is>
          <t>•  VAT 7% และหัก ณ ที่จ่าย 3% เลือก ใช่ / ไม่ใช่ ในคอลัมน์ I (อยู่นอกพื้นที่พิมพ์)</t>
        </is>
      </c>
    </row>
    <row r="19">
      <c r="A19" s="5" t="inlineStr">
        <is>
          <t>•  ใบเสร็จ + VAT = ใบเสร็จรับเงิน / ใบกำกับภาษี (บริการ: ออกใบกำกับภาษีเมื่อได้รับเงิน)</t>
        </is>
      </c>
    </row>
    <row r="20">
      <c r="A20" s="5" t="inlineStr">
        <is>
          <t>•  ตัวอักษรบาทใช้ฟังก์ชัน BAHTTEXT ของ Excel</t>
        </is>
      </c>
    </row>
    <row r="21">
      <c r="A21" s="5" t="inlineStr">
        <is>
          <t>•  พิมพ์: File › Print › A4 (ตั้งค่าหน้ากระดาษไว้แล้ว) · ติดตั้งฟอนต์ IBM Plex Sans Thai และ LINE Seed Sans TH ก่อน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10" customWidth="1" min="4" max="4"/>
    <col width="15" customWidth="1" min="5" max="5"/>
    <col width="17" customWidth="1" min="6" max="6"/>
    <col width="3" customWidth="1" min="7" max="7"/>
    <col width="22" customWidth="1" min="8" max="8"/>
    <col width="10" customWidth="1" min="9" max="9"/>
  </cols>
  <sheetData>
    <row r="1" ht="20" customHeight="1">
      <c r="D1" s="6" t="inlineStr">
        <is>
          <t>QUOTATION</t>
        </is>
      </c>
    </row>
    <row r="2" ht="20" customHeight="1">
      <c r="C2" s="7" t="inlineStr">
        <is>
          <t>ใบเสนอราคา</t>
        </is>
      </c>
    </row>
    <row r="3" ht="20" customHeight="1"/>
    <row r="5">
      <c r="A5" s="8">
        <f>'ข้อมูลบริษัท'!$B$3</f>
        <v/>
      </c>
      <c r="D5" s="9" t="inlineStr">
        <is>
          <t>เลขที่</t>
        </is>
      </c>
      <c r="E5" s="10" t="inlineStr">
        <is>
          <t>QT-202609-001</t>
        </is>
      </c>
      <c r="F5" s="11" t="n"/>
    </row>
    <row r="6">
      <c r="A6" s="12">
        <f>'ข้อมูลบริษัท'!$B$4</f>
        <v/>
      </c>
      <c r="D6" s="9" t="inlineStr">
        <is>
          <t>วันที่</t>
        </is>
      </c>
      <c r="E6" s="13" t="n">
        <v>46294</v>
      </c>
      <c r="F6" s="11" t="n"/>
    </row>
    <row r="7">
      <c r="A7" s="12">
        <f>'ข้อมูลบริษัท'!$B$5</f>
        <v/>
      </c>
      <c r="D7" s="9" t="inlineStr">
        <is>
          <t>ยืนราคาถึง</t>
        </is>
      </c>
      <c r="E7" s="13">
        <f>E6+30</f>
        <v/>
      </c>
      <c r="F7" s="11" t="n"/>
    </row>
    <row r="8">
      <c r="A8" s="14">
        <f>"เลขประจำตัวผู้เสียภาษี "&amp;'ข้อมูลบริษัท'!$B$6&amp;" · "&amp;'ข้อมูลบริษัท'!$B$7</f>
        <v/>
      </c>
      <c r="D8" s="9" t="inlineStr">
        <is>
          <t>ผู้ดูแลโปรเจกต์</t>
        </is>
      </c>
      <c r="E8" s="15" t="inlineStr">
        <is>
          <t>[ชื่อผู้ดูแลโปรเจกต์]</t>
        </is>
      </c>
      <c r="F8" s="11" t="n"/>
    </row>
    <row r="9">
      <c r="A9" s="14">
        <f>'ข้อมูลบริษัท'!$B$8&amp;" · "&amp;'ข้อมูลบริษัท'!$B$9&amp;" · "&amp;'ข้อมูลบริษัท'!$B$10</f>
        <v/>
      </c>
    </row>
    <row r="10">
      <c r="A10" s="16" t="n"/>
      <c r="B10" s="16" t="n"/>
      <c r="C10" s="16" t="n"/>
      <c r="D10" s="16" t="n"/>
      <c r="E10" s="16" t="n"/>
      <c r="F10" s="16" t="n"/>
    </row>
    <row r="11">
      <c r="A11" s="17" t="inlineStr">
        <is>
          <t>ลูกค้า</t>
        </is>
      </c>
    </row>
    <row r="12">
      <c r="A12" s="8" t="inlineStr">
        <is>
          <t>บริษัท [ชื่อลูกค้า] จำกัด (สำนักงานใหญ่)</t>
        </is>
      </c>
    </row>
    <row r="13">
      <c r="A13" s="18" t="inlineStr">
        <is>
          <t>[ที่อยู่ลูกค้า]</t>
        </is>
      </c>
    </row>
    <row r="14">
      <c r="A14" s="18" t="inlineStr">
        <is>
          <t>เลขประจำตัวผู้เสียภาษี [13 หลัก]</t>
        </is>
      </c>
    </row>
    <row r="15">
      <c r="A15" s="18" t="inlineStr">
        <is>
          <t>คุณ[ผู้ติดต่อ] · [เบอร์โทร]</t>
        </is>
      </c>
    </row>
    <row r="17" ht="22" customHeight="1">
      <c r="A17" s="19" t="inlineStr">
        <is>
          <t>#</t>
        </is>
      </c>
      <c r="B17" s="20" t="inlineStr">
        <is>
          <t>รายละเอียด</t>
        </is>
      </c>
      <c r="C17" s="21" t="inlineStr">
        <is>
          <t>จำนวน</t>
        </is>
      </c>
      <c r="D17" s="20" t="inlineStr">
        <is>
          <t>หน่วย</t>
        </is>
      </c>
      <c r="E17" s="21" t="inlineStr">
        <is>
          <t>ราคาต่อหน่วย</t>
        </is>
      </c>
      <c r="F17" s="21" t="inlineStr">
        <is>
          <t>จำนวนเงิน (บาท)</t>
        </is>
      </c>
    </row>
    <row r="18" ht="36" customHeight="1">
      <c r="A18" s="22">
        <f>IF(B18="","",1)</f>
        <v/>
      </c>
      <c r="B18" s="23" t="inlineStr">
        <is>
          <r>
            <rPr>
              <rFont val="IBM Plex Sans Thai"/>
              <b val="1"/>
              <color rgb="00041A53"/>
              <sz val="10"/>
            </rPr>
            <t>เว็บไซต์พร้อมระบบจองห้องพัก</t>
          </r>
          <r>
            <rPr>
              <rFont val="IBM Plex Sans Thai"/>
              <color rgb="0056627F"/>
              <sz val="8.5"/>
            </rPr>
            <t xml:space="preserve">
ออกแบบ UX/UI 2 ภาษา (ไทย / อังกฤษ) · ระบบจองตรงพร้อมปฏิทินห้องว่าง · On-page SEO เบื้องต้น</t>
          </r>
        </is>
      </c>
      <c r="C18" s="24" t="n">
        <v>1</v>
      </c>
      <c r="D18" s="25" t="inlineStr">
        <is>
          <t>งาน</t>
        </is>
      </c>
      <c r="E18" s="26" t="n">
        <v>85000</v>
      </c>
      <c r="F18" s="27">
        <f>IF(OR(C18="",E18=""),"",C18*E18)</f>
        <v/>
      </c>
    </row>
    <row r="19" ht="20" customHeight="1">
      <c r="A19" s="22">
        <f>IF(B19="","",2)</f>
        <v/>
      </c>
      <c r="B19" s="23" t="inlineStr">
        <is>
          <r>
            <rPr>
              <rFont val="IBM Plex Sans Thai"/>
              <b val="1"/>
              <color rgb="00041A53"/>
              <sz val="10"/>
            </rPr>
            <t>ตั้งค่าโดเมน อีเมลบริษัท และ SSL</t>
          </r>
        </is>
      </c>
      <c r="C19" s="24" t="n">
        <v>1</v>
      </c>
      <c r="D19" s="25" t="inlineStr">
        <is>
          <t>งาน</t>
        </is>
      </c>
      <c r="E19" s="26" t="n">
        <v>3500</v>
      </c>
      <c r="F19" s="27">
        <f>IF(OR(C19="",E19=""),"",C19*E19)</f>
        <v/>
      </c>
    </row>
    <row r="20" ht="36" customHeight="1">
      <c r="A20" s="22">
        <f>IF(B20="","",3)</f>
        <v/>
      </c>
      <c r="B20" s="23" t="inlineStr">
        <is>
          <r>
            <rPr>
              <rFont val="IBM Plex Sans Thai"/>
              <b val="1"/>
              <color rgb="00041A53"/>
              <sz val="10"/>
            </rPr>
            <t>ดูแลเซิร์ฟเวอร์และสำรองข้อมูล</t>
          </r>
          <r>
            <rPr>
              <rFont val="IBM Plex Sans Thai"/>
              <color rgb="0056627F"/>
              <sz val="8.5"/>
            </rPr>
            <t xml:space="preserve">
อัปเดตระบบ ตรวจสอบความปลอดภัย สำรองข้อมูลรายวัน</t>
          </r>
        </is>
      </c>
      <c r="C20" s="24" t="n">
        <v>12</v>
      </c>
      <c r="D20" s="25" t="inlineStr">
        <is>
          <t>เดือน</t>
        </is>
      </c>
      <c r="E20" s="26" t="n">
        <v>2500</v>
      </c>
      <c r="F20" s="27">
        <f>IF(OR(C20="",E20=""),"",C20*E20)</f>
        <v/>
      </c>
    </row>
    <row r="21">
      <c r="A21" s="22">
        <f>IF(B21="","",4)</f>
        <v/>
      </c>
      <c r="B21" s="23" t="n"/>
      <c r="C21" s="24" t="n"/>
      <c r="D21" s="25" t="n"/>
      <c r="E21" s="26" t="n"/>
      <c r="F21" s="27">
        <f>IF(OR(C21="",E21=""),"",C21*E21)</f>
        <v/>
      </c>
    </row>
    <row r="22">
      <c r="A22" s="22">
        <f>IF(B22="","",5)</f>
        <v/>
      </c>
      <c r="B22" s="23" t="n"/>
      <c r="C22" s="24" t="n"/>
      <c r="D22" s="25" t="n"/>
      <c r="E22" s="26" t="n"/>
      <c r="F22" s="27">
        <f>IF(OR(C22="",E22=""),"",C22*E22)</f>
        <v/>
      </c>
    </row>
    <row r="23">
      <c r="A23" s="22">
        <f>IF(B23="","",6)</f>
        <v/>
      </c>
      <c r="B23" s="23" t="n"/>
      <c r="C23" s="24" t="n"/>
      <c r="D23" s="25" t="n"/>
      <c r="E23" s="26" t="n"/>
      <c r="F23" s="27">
        <f>IF(OR(C23="",E23=""),"",C23*E23)</f>
        <v/>
      </c>
    </row>
    <row r="24">
      <c r="A24" s="22">
        <f>IF(B24="","",7)</f>
        <v/>
      </c>
      <c r="B24" s="23" t="n"/>
      <c r="C24" s="24" t="n"/>
      <c r="D24" s="25" t="n"/>
      <c r="E24" s="26" t="n"/>
      <c r="F24" s="27">
        <f>IF(OR(C24="",E24=""),"",C24*E24)</f>
        <v/>
      </c>
    </row>
    <row r="25">
      <c r="A25" s="22">
        <f>IF(B25="","",8)</f>
        <v/>
      </c>
      <c r="B25" s="23" t="n"/>
      <c r="C25" s="24" t="n"/>
      <c r="D25" s="25" t="n"/>
      <c r="E25" s="26" t="n"/>
      <c r="F25" s="27">
        <f>IF(OR(C25="",E25=""),"",C25*E25)</f>
        <v/>
      </c>
    </row>
    <row r="26">
      <c r="A26" s="22">
        <f>IF(B26="","",9)</f>
        <v/>
      </c>
      <c r="B26" s="23" t="n"/>
      <c r="C26" s="24" t="n"/>
      <c r="D26" s="25" t="n"/>
      <c r="E26" s="26" t="n"/>
      <c r="F26" s="27">
        <f>IF(OR(C26="",E26=""),"",C26*E26)</f>
        <v/>
      </c>
    </row>
    <row r="27">
      <c r="A27" s="22">
        <f>IF(B27="","",10)</f>
        <v/>
      </c>
      <c r="B27" s="23" t="n"/>
      <c r="C27" s="24" t="n"/>
      <c r="D27" s="25" t="n"/>
      <c r="E27" s="26" t="n"/>
      <c r="F27" s="27">
        <f>IF(OR(C27="",E27=""),"",C27*E27)</f>
        <v/>
      </c>
    </row>
    <row r="28">
      <c r="A28" s="22">
        <f>IF(B28="","",11)</f>
        <v/>
      </c>
      <c r="B28" s="23" t="n"/>
      <c r="C28" s="24" t="n"/>
      <c r="D28" s="25" t="n"/>
      <c r="E28" s="26" t="n"/>
      <c r="F28" s="27">
        <f>IF(OR(C28="",E28=""),"",C28*E28)</f>
        <v/>
      </c>
    </row>
    <row r="29">
      <c r="A29" s="22">
        <f>IF(B29="","",12)</f>
        <v/>
      </c>
      <c r="B29" s="23" t="n"/>
      <c r="C29" s="24" t="n"/>
      <c r="D29" s="25" t="n"/>
      <c r="E29" s="26" t="n"/>
      <c r="F29" s="27">
        <f>IF(OR(C29="",E29=""),"",C29*E29)</f>
        <v/>
      </c>
    </row>
    <row r="30">
      <c r="A30" s="22">
        <f>IF(B30="","",13)</f>
        <v/>
      </c>
      <c r="B30" s="23" t="n"/>
      <c r="C30" s="24" t="n"/>
      <c r="D30" s="25" t="n"/>
      <c r="E30" s="26" t="n"/>
      <c r="F30" s="27">
        <f>IF(OR(C30="",E30=""),"",C30*E30)</f>
        <v/>
      </c>
    </row>
    <row r="31">
      <c r="A31" s="22">
        <f>IF(B31="","",14)</f>
        <v/>
      </c>
      <c r="B31" s="23" t="n"/>
      <c r="C31" s="24" t="n"/>
      <c r="D31" s="25" t="n"/>
      <c r="E31" s="26" t="n"/>
      <c r="F31" s="27">
        <f>IF(OR(C31="",E31=""),"",C31*E31)</f>
        <v/>
      </c>
    </row>
    <row r="32">
      <c r="A32" s="22">
        <f>IF(B32="","",15)</f>
        <v/>
      </c>
      <c r="B32" s="23" t="n"/>
      <c r="C32" s="24" t="n"/>
      <c r="D32" s="25" t="n"/>
      <c r="E32" s="26" t="n"/>
      <c r="F32" s="27">
        <f>IF(OR(C32="",E32=""),"",C32*E32)</f>
        <v/>
      </c>
    </row>
    <row r="34">
      <c r="A34" s="17" t="inlineStr">
        <is>
          <t>จำนวนเงินตัวอักษร</t>
        </is>
      </c>
      <c r="E34" s="28" t="inlineStr">
        <is>
          <t>รวมเป็นเงิน</t>
        </is>
      </c>
      <c r="F34" s="29">
        <f>SUM(F18:F32)</f>
        <v/>
      </c>
    </row>
    <row r="35">
      <c r="A35" s="30">
        <f>BAHTTEXT(F39)</f>
        <v/>
      </c>
      <c r="E35" s="28" t="inlineStr">
        <is>
          <t>ส่วนลด</t>
        </is>
      </c>
      <c r="F35" s="31" t="n">
        <v>0</v>
      </c>
    </row>
    <row r="36">
      <c r="E36" s="28" t="inlineStr">
        <is>
          <t>ยอดหลังหักส่วนลด</t>
        </is>
      </c>
      <c r="F36" s="31">
        <f>F34-F35</f>
        <v/>
      </c>
      <c r="H36" s="17" t="inlineStr">
        <is>
          <t>ตั้งค่า (ไม่พิมพ์)</t>
        </is>
      </c>
    </row>
    <row r="38">
      <c r="E38" s="28" t="inlineStr">
        <is>
          <t>ภาษีมูลค่าเพิ่ม 7%</t>
        </is>
      </c>
      <c r="F38" s="31">
        <f>IF(I38="ใช่",ROUND(F36*7%,2),0)</f>
        <v/>
      </c>
      <c r="H38" s="14" t="inlineStr">
        <is>
          <t>คิด VAT 7%</t>
        </is>
      </c>
      <c r="I38" s="32" t="inlineStr">
        <is>
          <t>ไม่ใช่</t>
        </is>
      </c>
    </row>
    <row r="39" ht="26" customHeight="1">
      <c r="E39" s="33" t="inlineStr">
        <is>
          <t>ยอดรวมทั้งสิ้น</t>
        </is>
      </c>
      <c r="F39" s="34">
        <f>F36+F38</f>
        <v/>
      </c>
    </row>
    <row r="40">
      <c r="E40" s="28" t="inlineStr">
        <is>
          <t>หัก ณ ที่จ่าย 3%</t>
        </is>
      </c>
      <c r="F40" s="31">
        <f>IF(I40="ใช่",-ROUND(F36*3%,2),0)</f>
        <v/>
      </c>
      <c r="H40" s="14" t="inlineStr">
        <is>
          <t>หัก ณ ที่จ่าย 3%</t>
        </is>
      </c>
      <c r="I40" s="32" t="inlineStr">
        <is>
          <t>ไม่ใช่</t>
        </is>
      </c>
    </row>
    <row r="41">
      <c r="E41" s="28" t="inlineStr">
        <is>
          <t>ยอดชำระสุทธิ</t>
        </is>
      </c>
      <c r="F41" s="29">
        <f>F39+F40</f>
        <v/>
      </c>
    </row>
    <row r="43">
      <c r="A43" s="17" t="inlineStr">
        <is>
          <t>เงื่อนไข</t>
        </is>
      </c>
      <c r="D43" s="17" t="inlineStr">
        <is>
          <t>ช่องทางชำระเงิน</t>
        </is>
      </c>
    </row>
    <row r="44" ht="17" customHeight="1">
      <c r="A44" s="35" t="inlineStr">
        <is>
          <t>• ชำระมัดจำ [50]% เมื่อยืนยันงาน ส่วนที่เหลือเมื่อส่งมอบ
• รับประกันแก้ไขข้อผิดพลาดหลังส่งมอบ [3] เดือน
• ไม่รวมค่าโดเมน โฮสติ้ง และบริการภายนอก เว้นแต่ระบุในรายการ
• เริ่มงานภายใน [7] วันหลังได้รับมัดจำ</t>
        </is>
      </c>
      <c r="D44" s="35">
        <f>'ข้อมูลบริษัท'!$B$12</f>
        <v/>
      </c>
    </row>
    <row r="45" ht="17" customHeight="1"/>
    <row r="46" ht="17" customHeight="1"/>
    <row r="47" ht="17" customHeight="1"/>
    <row r="51" ht="34" customHeight="1">
      <c r="A51" s="36" t="n"/>
      <c r="B51" s="36" t="n"/>
      <c r="D51" s="36" t="n"/>
      <c r="E51" s="36" t="n"/>
      <c r="F51" s="36" t="n"/>
    </row>
    <row r="52">
      <c r="A52" s="37" t="inlineStr">
        <is>
          <t>ผู้เสนอราคา</t>
        </is>
      </c>
      <c r="D52" s="37" t="inlineStr">
        <is>
          <t>ผู้อนุมัติสั่งงาน</t>
        </is>
      </c>
    </row>
    <row r="53">
      <c r="A53" s="38" t="inlineStr">
        <is>
          <t>Krabi Digital Solutions</t>
        </is>
      </c>
      <c r="D53" s="38" t="inlineStr">
        <is>
          <t>ลูกค้า · วันที่ ____/____/______</t>
        </is>
      </c>
    </row>
    <row r="55">
      <c r="A55" s="39">
        <f>'ข้อมูลบริษัท'!$B$3&amp;" · "&amp;'ข้อมูลบริษัท'!$B$10&amp;" · "&amp;'ข้อมูลบริษัท'!$B$8&amp;" · LINE "&amp;'ข้อมูลบริษัท'!$B$11</f>
        <v/>
      </c>
      <c r="B55" s="40" t="n"/>
      <c r="C55" s="40" t="n"/>
      <c r="D55" s="40" t="n"/>
      <c r="E55" s="40" t="n"/>
      <c r="F55" s="40" t="n"/>
    </row>
  </sheetData>
  <mergeCells count="25">
    <mergeCell ref="A51:B51"/>
    <mergeCell ref="E5:F5"/>
    <mergeCell ref="D53:F53"/>
    <mergeCell ref="A55:F55"/>
    <mergeCell ref="E8:F8"/>
    <mergeCell ref="A6:B6"/>
    <mergeCell ref="A13:D13"/>
    <mergeCell ref="A7:B7"/>
    <mergeCell ref="D44:F47"/>
    <mergeCell ref="A15:D15"/>
    <mergeCell ref="A35:B36"/>
    <mergeCell ref="A44:B47"/>
    <mergeCell ref="C2:F3"/>
    <mergeCell ref="D51:F51"/>
    <mergeCell ref="E6:F6"/>
    <mergeCell ref="A5:B5"/>
    <mergeCell ref="A8:B8"/>
    <mergeCell ref="D1:F1"/>
    <mergeCell ref="A53:B53"/>
    <mergeCell ref="A52:B52"/>
    <mergeCell ref="E7:F7"/>
    <mergeCell ref="A12:D12"/>
    <mergeCell ref="D52:F52"/>
    <mergeCell ref="A9:B9"/>
    <mergeCell ref="A14:D14"/>
  </mergeCells>
  <dataValidations count="1">
    <dataValidation sqref="I38 I40" showDropDown="0" showInputMessage="0" showErrorMessage="0" allowBlank="0" type="list">
      <formula1>"ใช่,ไม่ใช่"</formula1>
    </dataValidation>
  </dataValidations>
  <printOptions horizontalCentered="1"/>
  <pageMargins left="0.55" right="0.55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10" customWidth="1" min="4" max="4"/>
    <col width="15" customWidth="1" min="5" max="5"/>
    <col width="17" customWidth="1" min="6" max="6"/>
    <col width="3" customWidth="1" min="7" max="7"/>
    <col width="22" customWidth="1" min="8" max="8"/>
    <col width="10" customWidth="1" min="9" max="9"/>
  </cols>
  <sheetData>
    <row r="1" ht="20" customHeight="1">
      <c r="D1" s="6" t="inlineStr">
        <is>
          <t>INVOICE</t>
        </is>
      </c>
    </row>
    <row r="2" ht="20" customHeight="1">
      <c r="C2" s="7" t="inlineStr">
        <is>
          <t>ใบแจ้งหนี้</t>
        </is>
      </c>
    </row>
    <row r="3" ht="20" customHeight="1"/>
    <row r="5">
      <c r="A5" s="8">
        <f>'ข้อมูลบริษัท'!$B$3</f>
        <v/>
      </c>
      <c r="D5" s="9" t="inlineStr">
        <is>
          <t>เลขที่</t>
        </is>
      </c>
      <c r="E5" s="10" t="inlineStr">
        <is>
          <t>INV-202609-001</t>
        </is>
      </c>
      <c r="F5" s="11" t="n"/>
    </row>
    <row r="6">
      <c r="A6" s="12">
        <f>'ข้อมูลบริษัท'!$B$4</f>
        <v/>
      </c>
      <c r="D6" s="9" t="inlineStr">
        <is>
          <t>วันที่</t>
        </is>
      </c>
      <c r="E6" s="13" t="n">
        <v>46294</v>
      </c>
      <c r="F6" s="11" t="n"/>
    </row>
    <row r="7">
      <c r="A7" s="12">
        <f>'ข้อมูลบริษัท'!$B$5</f>
        <v/>
      </c>
      <c r="D7" s="9" t="inlineStr">
        <is>
          <t>ครบกำหนดชำระ</t>
        </is>
      </c>
      <c r="E7" s="13">
        <f>E6+7</f>
        <v/>
      </c>
      <c r="F7" s="11" t="n"/>
    </row>
    <row r="8">
      <c r="A8" s="14">
        <f>"เลขประจำตัวผู้เสียภาษี "&amp;'ข้อมูลบริษัท'!$B$6&amp;" · "&amp;'ข้อมูลบริษัท'!$B$7</f>
        <v/>
      </c>
      <c r="D8" s="9" t="inlineStr">
        <is>
          <t>อ้างอิง</t>
        </is>
      </c>
      <c r="E8" s="15" t="inlineStr">
        <is>
          <t>[เลขที่ QT]</t>
        </is>
      </c>
      <c r="F8" s="11" t="n"/>
    </row>
    <row r="9">
      <c r="A9" s="14">
        <f>'ข้อมูลบริษัท'!$B$8&amp;" · "&amp;'ข้อมูลบริษัท'!$B$9&amp;" · "&amp;'ข้อมูลบริษัท'!$B$10</f>
        <v/>
      </c>
    </row>
    <row r="10">
      <c r="A10" s="16" t="n"/>
      <c r="B10" s="16" t="n"/>
      <c r="C10" s="16" t="n"/>
      <c r="D10" s="16" t="n"/>
      <c r="E10" s="16" t="n"/>
      <c r="F10" s="16" t="n"/>
    </row>
    <row r="11">
      <c r="A11" s="17" t="inlineStr">
        <is>
          <t>ลูกค้า</t>
        </is>
      </c>
    </row>
    <row r="12">
      <c r="A12" s="8" t="inlineStr">
        <is>
          <t>บริษัท [ชื่อลูกค้า] จำกัด (สำนักงานใหญ่)</t>
        </is>
      </c>
    </row>
    <row r="13">
      <c r="A13" s="18" t="inlineStr">
        <is>
          <t>[ที่อยู่ลูกค้า]</t>
        </is>
      </c>
    </row>
    <row r="14">
      <c r="A14" s="18" t="inlineStr">
        <is>
          <t>เลขประจำตัวผู้เสียภาษี [13 หลัก]</t>
        </is>
      </c>
    </row>
    <row r="15">
      <c r="A15" s="18" t="inlineStr">
        <is>
          <t>คุณ[ผู้ติดต่อ] · [เบอร์โทร]</t>
        </is>
      </c>
    </row>
    <row r="17" ht="22" customHeight="1">
      <c r="A17" s="19" t="inlineStr">
        <is>
          <t>#</t>
        </is>
      </c>
      <c r="B17" s="20" t="inlineStr">
        <is>
          <t>รายละเอียด</t>
        </is>
      </c>
      <c r="C17" s="21" t="inlineStr">
        <is>
          <t>จำนวน</t>
        </is>
      </c>
      <c r="D17" s="20" t="inlineStr">
        <is>
          <t>หน่วย</t>
        </is>
      </c>
      <c r="E17" s="21" t="inlineStr">
        <is>
          <t>ราคาต่อหน่วย</t>
        </is>
      </c>
      <c r="F17" s="21" t="inlineStr">
        <is>
          <t>จำนวนเงิน (บาท)</t>
        </is>
      </c>
    </row>
    <row r="18" ht="36" customHeight="1">
      <c r="A18" s="22">
        <f>IF(B18="","",1)</f>
        <v/>
      </c>
      <c r="B18" s="23" t="inlineStr">
        <is>
          <r>
            <rPr>
              <rFont val="IBM Plex Sans Thai"/>
              <b val="1"/>
              <color rgb="00041A53"/>
              <sz val="10"/>
            </rPr>
            <t>เว็บไซต์พร้อมระบบจองห้องพัก</t>
          </r>
          <r>
            <rPr>
              <rFont val="IBM Plex Sans Thai"/>
              <color rgb="0056627F"/>
              <sz val="8.5"/>
            </rPr>
            <t xml:space="preserve">
ออกแบบ UX/UI 2 ภาษา (ไทย / อังกฤษ) · ระบบจองตรงพร้อมปฏิทินห้องว่าง · On-page SEO เบื้องต้น</t>
          </r>
        </is>
      </c>
      <c r="C18" s="24" t="n">
        <v>1</v>
      </c>
      <c r="D18" s="25" t="inlineStr">
        <is>
          <t>งาน</t>
        </is>
      </c>
      <c r="E18" s="26" t="n">
        <v>85000</v>
      </c>
      <c r="F18" s="27">
        <f>IF(OR(C18="",E18=""),"",C18*E18)</f>
        <v/>
      </c>
    </row>
    <row r="19" ht="20" customHeight="1">
      <c r="A19" s="22">
        <f>IF(B19="","",2)</f>
        <v/>
      </c>
      <c r="B19" s="23" t="inlineStr">
        <is>
          <r>
            <rPr>
              <rFont val="IBM Plex Sans Thai"/>
              <b val="1"/>
              <color rgb="00041A53"/>
              <sz val="10"/>
            </rPr>
            <t>ตั้งค่าโดเมน อีเมลบริษัท และ SSL</t>
          </r>
        </is>
      </c>
      <c r="C19" s="24" t="n">
        <v>1</v>
      </c>
      <c r="D19" s="25" t="inlineStr">
        <is>
          <t>งาน</t>
        </is>
      </c>
      <c r="E19" s="26" t="n">
        <v>3500</v>
      </c>
      <c r="F19" s="27">
        <f>IF(OR(C19="",E19=""),"",C19*E19)</f>
        <v/>
      </c>
    </row>
    <row r="20" ht="36" customHeight="1">
      <c r="A20" s="22">
        <f>IF(B20="","",3)</f>
        <v/>
      </c>
      <c r="B20" s="23" t="inlineStr">
        <is>
          <r>
            <rPr>
              <rFont val="IBM Plex Sans Thai"/>
              <b val="1"/>
              <color rgb="00041A53"/>
              <sz val="10"/>
            </rPr>
            <t>ดูแลเซิร์ฟเวอร์และสำรองข้อมูล</t>
          </r>
          <r>
            <rPr>
              <rFont val="IBM Plex Sans Thai"/>
              <color rgb="0056627F"/>
              <sz val="8.5"/>
            </rPr>
            <t xml:space="preserve">
อัปเดตระบบ ตรวจสอบความปลอดภัย สำรองข้อมูลรายวัน</t>
          </r>
        </is>
      </c>
      <c r="C20" s="24" t="n">
        <v>12</v>
      </c>
      <c r="D20" s="25" t="inlineStr">
        <is>
          <t>เดือน</t>
        </is>
      </c>
      <c r="E20" s="26" t="n">
        <v>2500</v>
      </c>
      <c r="F20" s="27">
        <f>IF(OR(C20="",E20=""),"",C20*E20)</f>
        <v/>
      </c>
    </row>
    <row r="21">
      <c r="A21" s="22">
        <f>IF(B21="","",4)</f>
        <v/>
      </c>
      <c r="B21" s="23" t="n"/>
      <c r="C21" s="24" t="n"/>
      <c r="D21" s="25" t="n"/>
      <c r="E21" s="26" t="n"/>
      <c r="F21" s="27">
        <f>IF(OR(C21="",E21=""),"",C21*E21)</f>
        <v/>
      </c>
    </row>
    <row r="22">
      <c r="A22" s="22">
        <f>IF(B22="","",5)</f>
        <v/>
      </c>
      <c r="B22" s="23" t="n"/>
      <c r="C22" s="24" t="n"/>
      <c r="D22" s="25" t="n"/>
      <c r="E22" s="26" t="n"/>
      <c r="F22" s="27">
        <f>IF(OR(C22="",E22=""),"",C22*E22)</f>
        <v/>
      </c>
    </row>
    <row r="23">
      <c r="A23" s="22">
        <f>IF(B23="","",6)</f>
        <v/>
      </c>
      <c r="B23" s="23" t="n"/>
      <c r="C23" s="24" t="n"/>
      <c r="D23" s="25" t="n"/>
      <c r="E23" s="26" t="n"/>
      <c r="F23" s="27">
        <f>IF(OR(C23="",E23=""),"",C23*E23)</f>
        <v/>
      </c>
    </row>
    <row r="24">
      <c r="A24" s="22">
        <f>IF(B24="","",7)</f>
        <v/>
      </c>
      <c r="B24" s="23" t="n"/>
      <c r="C24" s="24" t="n"/>
      <c r="D24" s="25" t="n"/>
      <c r="E24" s="26" t="n"/>
      <c r="F24" s="27">
        <f>IF(OR(C24="",E24=""),"",C24*E24)</f>
        <v/>
      </c>
    </row>
    <row r="25">
      <c r="A25" s="22">
        <f>IF(B25="","",8)</f>
        <v/>
      </c>
      <c r="B25" s="23" t="n"/>
      <c r="C25" s="24" t="n"/>
      <c r="D25" s="25" t="n"/>
      <c r="E25" s="26" t="n"/>
      <c r="F25" s="27">
        <f>IF(OR(C25="",E25=""),"",C25*E25)</f>
        <v/>
      </c>
    </row>
    <row r="26">
      <c r="A26" s="22">
        <f>IF(B26="","",9)</f>
        <v/>
      </c>
      <c r="B26" s="23" t="n"/>
      <c r="C26" s="24" t="n"/>
      <c r="D26" s="25" t="n"/>
      <c r="E26" s="26" t="n"/>
      <c r="F26" s="27">
        <f>IF(OR(C26="",E26=""),"",C26*E26)</f>
        <v/>
      </c>
    </row>
    <row r="27">
      <c r="A27" s="22">
        <f>IF(B27="","",10)</f>
        <v/>
      </c>
      <c r="B27" s="23" t="n"/>
      <c r="C27" s="24" t="n"/>
      <c r="D27" s="25" t="n"/>
      <c r="E27" s="26" t="n"/>
      <c r="F27" s="27">
        <f>IF(OR(C27="",E27=""),"",C27*E27)</f>
        <v/>
      </c>
    </row>
    <row r="28">
      <c r="A28" s="22">
        <f>IF(B28="","",11)</f>
        <v/>
      </c>
      <c r="B28" s="23" t="n"/>
      <c r="C28" s="24" t="n"/>
      <c r="D28" s="25" t="n"/>
      <c r="E28" s="26" t="n"/>
      <c r="F28" s="27">
        <f>IF(OR(C28="",E28=""),"",C28*E28)</f>
        <v/>
      </c>
    </row>
    <row r="29">
      <c r="A29" s="22">
        <f>IF(B29="","",12)</f>
        <v/>
      </c>
      <c r="B29" s="23" t="n"/>
      <c r="C29" s="24" t="n"/>
      <c r="D29" s="25" t="n"/>
      <c r="E29" s="26" t="n"/>
      <c r="F29" s="27">
        <f>IF(OR(C29="",E29=""),"",C29*E29)</f>
        <v/>
      </c>
    </row>
    <row r="30">
      <c r="A30" s="22">
        <f>IF(B30="","",13)</f>
        <v/>
      </c>
      <c r="B30" s="23" t="n"/>
      <c r="C30" s="24" t="n"/>
      <c r="D30" s="25" t="n"/>
      <c r="E30" s="26" t="n"/>
      <c r="F30" s="27">
        <f>IF(OR(C30="",E30=""),"",C30*E30)</f>
        <v/>
      </c>
    </row>
    <row r="31">
      <c r="A31" s="22">
        <f>IF(B31="","",14)</f>
        <v/>
      </c>
      <c r="B31" s="23" t="n"/>
      <c r="C31" s="24" t="n"/>
      <c r="D31" s="25" t="n"/>
      <c r="E31" s="26" t="n"/>
      <c r="F31" s="27">
        <f>IF(OR(C31="",E31=""),"",C31*E31)</f>
        <v/>
      </c>
    </row>
    <row r="32">
      <c r="A32" s="22">
        <f>IF(B32="","",15)</f>
        <v/>
      </c>
      <c r="B32" s="23" t="n"/>
      <c r="C32" s="24" t="n"/>
      <c r="D32" s="25" t="n"/>
      <c r="E32" s="26" t="n"/>
      <c r="F32" s="27">
        <f>IF(OR(C32="",E32=""),"",C32*E32)</f>
        <v/>
      </c>
    </row>
    <row r="34">
      <c r="A34" s="17" t="inlineStr">
        <is>
          <t>จำนวนเงินตัวอักษร</t>
        </is>
      </c>
      <c r="E34" s="28" t="inlineStr">
        <is>
          <t>รวมเป็นเงิน</t>
        </is>
      </c>
      <c r="F34" s="29">
        <f>SUM(F18:F32)</f>
        <v/>
      </c>
    </row>
    <row r="35">
      <c r="A35" s="30">
        <f>BAHTTEXT(F39)</f>
        <v/>
      </c>
      <c r="E35" s="28" t="inlineStr">
        <is>
          <t>ส่วนลด</t>
        </is>
      </c>
      <c r="F35" s="31" t="n">
        <v>0</v>
      </c>
    </row>
    <row r="36">
      <c r="E36" s="28" t="inlineStr">
        <is>
          <t>ยอดหลังหักส่วนลด</t>
        </is>
      </c>
      <c r="F36" s="31">
        <f>F34-F35</f>
        <v/>
      </c>
      <c r="H36" s="17" t="inlineStr">
        <is>
          <t>ตั้งค่า (ไม่พิมพ์)</t>
        </is>
      </c>
    </row>
    <row r="38">
      <c r="E38" s="28" t="inlineStr">
        <is>
          <t>ภาษีมูลค่าเพิ่ม 7%</t>
        </is>
      </c>
      <c r="F38" s="31">
        <f>IF(I38="ใช่",ROUND(F36*7%,2),0)</f>
        <v/>
      </c>
      <c r="H38" s="14" t="inlineStr">
        <is>
          <t>คิด VAT 7%</t>
        </is>
      </c>
      <c r="I38" s="32" t="inlineStr">
        <is>
          <t>ไม่ใช่</t>
        </is>
      </c>
    </row>
    <row r="39" ht="26" customHeight="1">
      <c r="E39" s="33" t="inlineStr">
        <is>
          <t>ยอดรวมทั้งสิ้น</t>
        </is>
      </c>
      <c r="F39" s="34">
        <f>F36+F38</f>
        <v/>
      </c>
    </row>
    <row r="40">
      <c r="E40" s="28" t="inlineStr">
        <is>
          <t>หัก ณ ที่จ่าย 3%</t>
        </is>
      </c>
      <c r="F40" s="31">
        <f>IF(I40="ใช่",-ROUND(F36*3%,2),0)</f>
        <v/>
      </c>
      <c r="H40" s="14" t="inlineStr">
        <is>
          <t>หัก ณ ที่จ่าย 3%</t>
        </is>
      </c>
      <c r="I40" s="32" t="inlineStr">
        <is>
          <t>ไม่ใช่</t>
        </is>
      </c>
    </row>
    <row r="41">
      <c r="E41" s="28" t="inlineStr">
        <is>
          <t>ยอดชำระสุทธิ</t>
        </is>
      </c>
      <c r="F41" s="29">
        <f>F39+F40</f>
        <v/>
      </c>
    </row>
    <row r="43">
      <c r="A43" s="17" t="inlineStr">
        <is>
          <t>หมายเหตุ</t>
        </is>
      </c>
      <c r="D43" s="17" t="inlineStr">
        <is>
          <t>ช่องทางชำระเงิน</t>
        </is>
      </c>
    </row>
    <row r="44" ht="17" customHeight="1">
      <c r="A44" s="35" t="inlineStr">
        <is>
          <t>งวดที่ [1] จาก [2] · [มัดจำ 50%]
กรุณาแจ้งหลักฐานการโอนทาง LINE @982ghtqj หรือ contact@krabitech.com</t>
        </is>
      </c>
      <c r="D44" s="35">
        <f>'ข้อมูลบริษัท'!$B$12</f>
        <v/>
      </c>
    </row>
    <row r="45" ht="17" customHeight="1"/>
    <row r="46" ht="17" customHeight="1"/>
    <row r="47" ht="17" customHeight="1"/>
    <row r="51" ht="34" customHeight="1">
      <c r="A51" s="36" t="n"/>
      <c r="B51" s="36" t="n"/>
      <c r="D51" s="36" t="n"/>
      <c r="E51" s="36" t="n"/>
      <c r="F51" s="36" t="n"/>
    </row>
    <row r="52">
      <c r="A52" s="37" t="inlineStr">
        <is>
          <t>ผู้วางบิล</t>
        </is>
      </c>
      <c r="D52" s="37" t="inlineStr">
        <is>
          <t>ผู้รับวางบิล</t>
        </is>
      </c>
    </row>
    <row r="53">
      <c r="A53" s="38" t="inlineStr">
        <is>
          <t>Krabi Digital Solutions</t>
        </is>
      </c>
      <c r="D53" s="38" t="inlineStr">
        <is>
          <t>วันที่ ____/____/______</t>
        </is>
      </c>
    </row>
    <row r="55">
      <c r="A55" s="39">
        <f>'ข้อมูลบริษัท'!$B$3&amp;" · "&amp;'ข้อมูลบริษัท'!$B$10&amp;" · "&amp;'ข้อมูลบริษัท'!$B$8&amp;" · LINE "&amp;'ข้อมูลบริษัท'!$B$11</f>
        <v/>
      </c>
      <c r="B55" s="40" t="n"/>
      <c r="C55" s="40" t="n"/>
      <c r="D55" s="40" t="n"/>
      <c r="E55" s="40" t="n"/>
      <c r="F55" s="40" t="n"/>
    </row>
  </sheetData>
  <mergeCells count="25">
    <mergeCell ref="A51:B51"/>
    <mergeCell ref="E5:F5"/>
    <mergeCell ref="D53:F53"/>
    <mergeCell ref="A55:F55"/>
    <mergeCell ref="E8:F8"/>
    <mergeCell ref="A6:B6"/>
    <mergeCell ref="A13:D13"/>
    <mergeCell ref="A7:B7"/>
    <mergeCell ref="D44:F47"/>
    <mergeCell ref="A15:D15"/>
    <mergeCell ref="A35:B36"/>
    <mergeCell ref="A44:B47"/>
    <mergeCell ref="C2:F3"/>
    <mergeCell ref="D51:F51"/>
    <mergeCell ref="E6:F6"/>
    <mergeCell ref="A5:B5"/>
    <mergeCell ref="A8:B8"/>
    <mergeCell ref="D1:F1"/>
    <mergeCell ref="A53:B53"/>
    <mergeCell ref="A52:B52"/>
    <mergeCell ref="E7:F7"/>
    <mergeCell ref="A12:D12"/>
    <mergeCell ref="D52:F52"/>
    <mergeCell ref="A9:B9"/>
    <mergeCell ref="A14:D14"/>
  </mergeCells>
  <dataValidations count="1">
    <dataValidation sqref="I38 I40" showDropDown="0" showInputMessage="0" showErrorMessage="0" allowBlank="0" type="list">
      <formula1>"ใช่,ไม่ใช่"</formula1>
    </dataValidation>
  </dataValidations>
  <printOptions horizontalCentered="1"/>
  <pageMargins left="0.55" right="0.55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0" customWidth="1" min="3" max="3"/>
    <col width="10" customWidth="1" min="4" max="4"/>
    <col width="15" customWidth="1" min="5" max="5"/>
    <col width="17" customWidth="1" min="6" max="6"/>
    <col width="3" customWidth="1" min="7" max="7"/>
    <col width="22" customWidth="1" min="8" max="8"/>
    <col width="10" customWidth="1" min="9" max="9"/>
  </cols>
  <sheetData>
    <row r="1" ht="20" customHeight="1">
      <c r="D1" s="6">
        <f>IF($I$38="ใช่","RECEIPT / TAX INVOICE","RECEIPT")</f>
        <v/>
      </c>
    </row>
    <row r="2" ht="20" customHeight="1">
      <c r="C2" s="41">
        <f>IF($I$38="ใช่","ใบเสร็จรับเงิน / ใบกำกับภาษี","ใบเสร็จรับเงิน")</f>
        <v/>
      </c>
    </row>
    <row r="3" ht="20" customHeight="1"/>
    <row r="5">
      <c r="A5" s="8">
        <f>'ข้อมูลบริษัท'!$B$3</f>
        <v/>
      </c>
      <c r="D5" s="9" t="inlineStr">
        <is>
          <t>เลขที่</t>
        </is>
      </c>
      <c r="E5" s="10" t="inlineStr">
        <is>
          <t>RC-202609-001</t>
        </is>
      </c>
      <c r="F5" s="11" t="n"/>
    </row>
    <row r="6">
      <c r="A6" s="12">
        <f>'ข้อมูลบริษัท'!$B$4</f>
        <v/>
      </c>
      <c r="D6" s="9" t="inlineStr">
        <is>
          <t>วันที่</t>
        </is>
      </c>
      <c r="E6" s="13" t="n">
        <v>46294</v>
      </c>
      <c r="F6" s="11" t="n"/>
    </row>
    <row r="7">
      <c r="A7" s="12">
        <f>'ข้อมูลบริษัท'!$B$5</f>
        <v/>
      </c>
      <c r="D7" s="9" t="inlineStr">
        <is>
          <t>อ้างอิง</t>
        </is>
      </c>
      <c r="E7" s="15" t="inlineStr">
        <is>
          <t>[เลขที่ INV]</t>
        </is>
      </c>
      <c r="F7" s="11" t="n"/>
    </row>
    <row r="8">
      <c r="A8" s="14">
        <f>"เลขประจำตัวผู้เสียภาษี "&amp;'ข้อมูลบริษัท'!$B$6&amp;" · "&amp;'ข้อมูลบริษัท'!$B$7</f>
        <v/>
      </c>
      <c r="D8" s="9" t="inlineStr"/>
      <c r="E8" s="15" t="inlineStr">
        <is>
          <t>ต้นฉบับ</t>
        </is>
      </c>
      <c r="F8" s="11" t="n"/>
    </row>
    <row r="9">
      <c r="A9" s="14">
        <f>'ข้อมูลบริษัท'!$B$8&amp;" · "&amp;'ข้อมูลบริษัท'!$B$9&amp;" · "&amp;'ข้อมูลบริษัท'!$B$10</f>
        <v/>
      </c>
    </row>
    <row r="10">
      <c r="A10" s="16" t="n"/>
      <c r="B10" s="16" t="n"/>
      <c r="C10" s="16" t="n"/>
      <c r="D10" s="16" t="n"/>
      <c r="E10" s="16" t="n"/>
      <c r="F10" s="16" t="n"/>
    </row>
    <row r="11">
      <c r="A11" s="17" t="inlineStr">
        <is>
          <t>ได้รับเงินจาก</t>
        </is>
      </c>
    </row>
    <row r="12">
      <c r="A12" s="8" t="inlineStr">
        <is>
          <t>บริษัท [ชื่อลูกค้า] จำกัด (สำนักงานใหญ่)</t>
        </is>
      </c>
    </row>
    <row r="13">
      <c r="A13" s="18" t="inlineStr">
        <is>
          <t>[ที่อยู่ลูกค้า]</t>
        </is>
      </c>
    </row>
    <row r="14">
      <c r="A14" s="18" t="inlineStr">
        <is>
          <t>เลขประจำตัวผู้เสียภาษี [13 หลัก]</t>
        </is>
      </c>
    </row>
    <row r="15">
      <c r="A15" s="18" t="inlineStr">
        <is>
          <t>คุณ[ผู้ติดต่อ] · [เบอร์โทร]</t>
        </is>
      </c>
    </row>
    <row r="17" ht="22" customHeight="1">
      <c r="A17" s="19" t="inlineStr">
        <is>
          <t>#</t>
        </is>
      </c>
      <c r="B17" s="20" t="inlineStr">
        <is>
          <t>รายละเอียด</t>
        </is>
      </c>
      <c r="C17" s="21" t="inlineStr">
        <is>
          <t>จำนวน</t>
        </is>
      </c>
      <c r="D17" s="20" t="inlineStr">
        <is>
          <t>หน่วย</t>
        </is>
      </c>
      <c r="E17" s="21" t="inlineStr">
        <is>
          <t>ราคาต่อหน่วย</t>
        </is>
      </c>
      <c r="F17" s="21" t="inlineStr">
        <is>
          <t>จำนวนเงิน (บาท)</t>
        </is>
      </c>
    </row>
    <row r="18" ht="36" customHeight="1">
      <c r="A18" s="22">
        <f>IF(B18="","",1)</f>
        <v/>
      </c>
      <c r="B18" s="23" t="inlineStr">
        <is>
          <r>
            <rPr>
              <rFont val="IBM Plex Sans Thai"/>
              <b val="1"/>
              <color rgb="00041A53"/>
              <sz val="10"/>
            </rPr>
            <t>เว็บไซต์พร้อมระบบจองห้องพัก</t>
          </r>
          <r>
            <rPr>
              <rFont val="IBM Plex Sans Thai"/>
              <color rgb="0056627F"/>
              <sz val="8.5"/>
            </rPr>
            <t xml:space="preserve">
ออกแบบ UX/UI 2 ภาษา (ไทย / อังกฤษ) · ระบบจองตรงพร้อมปฏิทินห้องว่าง · On-page SEO เบื้องต้น</t>
          </r>
        </is>
      </c>
      <c r="C18" s="24" t="n">
        <v>1</v>
      </c>
      <c r="D18" s="25" t="inlineStr">
        <is>
          <t>งาน</t>
        </is>
      </c>
      <c r="E18" s="26" t="n">
        <v>85000</v>
      </c>
      <c r="F18" s="27">
        <f>IF(OR(C18="",E18=""),"",C18*E18)</f>
        <v/>
      </c>
    </row>
    <row r="19" ht="20" customHeight="1">
      <c r="A19" s="22">
        <f>IF(B19="","",2)</f>
        <v/>
      </c>
      <c r="B19" s="23" t="inlineStr">
        <is>
          <r>
            <rPr>
              <rFont val="IBM Plex Sans Thai"/>
              <b val="1"/>
              <color rgb="00041A53"/>
              <sz val="10"/>
            </rPr>
            <t>ตั้งค่าโดเมน อีเมลบริษัท และ SSL</t>
          </r>
        </is>
      </c>
      <c r="C19" s="24" t="n">
        <v>1</v>
      </c>
      <c r="D19" s="25" t="inlineStr">
        <is>
          <t>งาน</t>
        </is>
      </c>
      <c r="E19" s="26" t="n">
        <v>3500</v>
      </c>
      <c r="F19" s="27">
        <f>IF(OR(C19="",E19=""),"",C19*E19)</f>
        <v/>
      </c>
    </row>
    <row r="20" ht="36" customHeight="1">
      <c r="A20" s="22">
        <f>IF(B20="","",3)</f>
        <v/>
      </c>
      <c r="B20" s="23" t="inlineStr">
        <is>
          <r>
            <rPr>
              <rFont val="IBM Plex Sans Thai"/>
              <b val="1"/>
              <color rgb="00041A53"/>
              <sz val="10"/>
            </rPr>
            <t>ดูแลเซิร์ฟเวอร์และสำรองข้อมูล</t>
          </r>
          <r>
            <rPr>
              <rFont val="IBM Plex Sans Thai"/>
              <color rgb="0056627F"/>
              <sz val="8.5"/>
            </rPr>
            <t xml:space="preserve">
อัปเดตระบบ ตรวจสอบความปลอดภัย สำรองข้อมูลรายวัน</t>
          </r>
        </is>
      </c>
      <c r="C20" s="24" t="n">
        <v>12</v>
      </c>
      <c r="D20" s="25" t="inlineStr">
        <is>
          <t>เดือน</t>
        </is>
      </c>
      <c r="E20" s="26" t="n">
        <v>2500</v>
      </c>
      <c r="F20" s="27">
        <f>IF(OR(C20="",E20=""),"",C20*E20)</f>
        <v/>
      </c>
    </row>
    <row r="21">
      <c r="A21" s="22">
        <f>IF(B21="","",4)</f>
        <v/>
      </c>
      <c r="B21" s="23" t="n"/>
      <c r="C21" s="24" t="n"/>
      <c r="D21" s="25" t="n"/>
      <c r="E21" s="26" t="n"/>
      <c r="F21" s="27">
        <f>IF(OR(C21="",E21=""),"",C21*E21)</f>
        <v/>
      </c>
    </row>
    <row r="22">
      <c r="A22" s="22">
        <f>IF(B22="","",5)</f>
        <v/>
      </c>
      <c r="B22" s="23" t="n"/>
      <c r="C22" s="24" t="n"/>
      <c r="D22" s="25" t="n"/>
      <c r="E22" s="26" t="n"/>
      <c r="F22" s="27">
        <f>IF(OR(C22="",E22=""),"",C22*E22)</f>
        <v/>
      </c>
    </row>
    <row r="23">
      <c r="A23" s="22">
        <f>IF(B23="","",6)</f>
        <v/>
      </c>
      <c r="B23" s="23" t="n"/>
      <c r="C23" s="24" t="n"/>
      <c r="D23" s="25" t="n"/>
      <c r="E23" s="26" t="n"/>
      <c r="F23" s="27">
        <f>IF(OR(C23="",E23=""),"",C23*E23)</f>
        <v/>
      </c>
    </row>
    <row r="24">
      <c r="A24" s="22">
        <f>IF(B24="","",7)</f>
        <v/>
      </c>
      <c r="B24" s="23" t="n"/>
      <c r="C24" s="24" t="n"/>
      <c r="D24" s="25" t="n"/>
      <c r="E24" s="26" t="n"/>
      <c r="F24" s="27">
        <f>IF(OR(C24="",E24=""),"",C24*E24)</f>
        <v/>
      </c>
    </row>
    <row r="25">
      <c r="A25" s="22">
        <f>IF(B25="","",8)</f>
        <v/>
      </c>
      <c r="B25" s="23" t="n"/>
      <c r="C25" s="24" t="n"/>
      <c r="D25" s="25" t="n"/>
      <c r="E25" s="26" t="n"/>
      <c r="F25" s="27">
        <f>IF(OR(C25="",E25=""),"",C25*E25)</f>
        <v/>
      </c>
    </row>
    <row r="26">
      <c r="A26" s="22">
        <f>IF(B26="","",9)</f>
        <v/>
      </c>
      <c r="B26" s="23" t="n"/>
      <c r="C26" s="24" t="n"/>
      <c r="D26" s="25" t="n"/>
      <c r="E26" s="26" t="n"/>
      <c r="F26" s="27">
        <f>IF(OR(C26="",E26=""),"",C26*E26)</f>
        <v/>
      </c>
    </row>
    <row r="27">
      <c r="A27" s="22">
        <f>IF(B27="","",10)</f>
        <v/>
      </c>
      <c r="B27" s="23" t="n"/>
      <c r="C27" s="24" t="n"/>
      <c r="D27" s="25" t="n"/>
      <c r="E27" s="26" t="n"/>
      <c r="F27" s="27">
        <f>IF(OR(C27="",E27=""),"",C27*E27)</f>
        <v/>
      </c>
    </row>
    <row r="28">
      <c r="A28" s="22">
        <f>IF(B28="","",11)</f>
        <v/>
      </c>
      <c r="B28" s="23" t="n"/>
      <c r="C28" s="24" t="n"/>
      <c r="D28" s="25" t="n"/>
      <c r="E28" s="26" t="n"/>
      <c r="F28" s="27">
        <f>IF(OR(C28="",E28=""),"",C28*E28)</f>
        <v/>
      </c>
    </row>
    <row r="29">
      <c r="A29" s="22">
        <f>IF(B29="","",12)</f>
        <v/>
      </c>
      <c r="B29" s="23" t="n"/>
      <c r="C29" s="24" t="n"/>
      <c r="D29" s="25" t="n"/>
      <c r="E29" s="26" t="n"/>
      <c r="F29" s="27">
        <f>IF(OR(C29="",E29=""),"",C29*E29)</f>
        <v/>
      </c>
    </row>
    <row r="30">
      <c r="A30" s="22">
        <f>IF(B30="","",13)</f>
        <v/>
      </c>
      <c r="B30" s="23" t="n"/>
      <c r="C30" s="24" t="n"/>
      <c r="D30" s="25" t="n"/>
      <c r="E30" s="26" t="n"/>
      <c r="F30" s="27">
        <f>IF(OR(C30="",E30=""),"",C30*E30)</f>
        <v/>
      </c>
    </row>
    <row r="31">
      <c r="A31" s="22">
        <f>IF(B31="","",14)</f>
        <v/>
      </c>
      <c r="B31" s="23" t="n"/>
      <c r="C31" s="24" t="n"/>
      <c r="D31" s="25" t="n"/>
      <c r="E31" s="26" t="n"/>
      <c r="F31" s="27">
        <f>IF(OR(C31="",E31=""),"",C31*E31)</f>
        <v/>
      </c>
    </row>
    <row r="32">
      <c r="A32" s="22">
        <f>IF(B32="","",15)</f>
        <v/>
      </c>
      <c r="B32" s="23" t="n"/>
      <c r="C32" s="24" t="n"/>
      <c r="D32" s="25" t="n"/>
      <c r="E32" s="26" t="n"/>
      <c r="F32" s="27">
        <f>IF(OR(C32="",E32=""),"",C32*E32)</f>
        <v/>
      </c>
    </row>
    <row r="34">
      <c r="A34" s="17" t="inlineStr">
        <is>
          <t>จำนวนเงินตัวอักษร</t>
        </is>
      </c>
      <c r="E34" s="28" t="inlineStr">
        <is>
          <t>รวมเป็นเงิน</t>
        </is>
      </c>
      <c r="F34" s="29">
        <f>SUM(F18:F32)</f>
        <v/>
      </c>
    </row>
    <row r="35">
      <c r="A35" s="30">
        <f>BAHTTEXT(F39)</f>
        <v/>
      </c>
      <c r="E35" s="28" t="inlineStr">
        <is>
          <t>ส่วนลด</t>
        </is>
      </c>
      <c r="F35" s="31" t="n">
        <v>0</v>
      </c>
    </row>
    <row r="36">
      <c r="E36" s="28" t="inlineStr">
        <is>
          <t>ยอดหลังหักส่วนลด</t>
        </is>
      </c>
      <c r="F36" s="31">
        <f>F34-F35</f>
        <v/>
      </c>
      <c r="H36" s="17" t="inlineStr">
        <is>
          <t>ตั้งค่า (ไม่พิมพ์)</t>
        </is>
      </c>
    </row>
    <row r="38">
      <c r="E38" s="28" t="inlineStr">
        <is>
          <t>ภาษีมูลค่าเพิ่ม 7%</t>
        </is>
      </c>
      <c r="F38" s="31">
        <f>IF(I38="ใช่",ROUND(F36*7%,2),0)</f>
        <v/>
      </c>
      <c r="H38" s="14" t="inlineStr">
        <is>
          <t>คิด VAT 7%</t>
        </is>
      </c>
      <c r="I38" s="32" t="inlineStr">
        <is>
          <t>ไม่ใช่</t>
        </is>
      </c>
    </row>
    <row r="39" ht="26" customHeight="1">
      <c r="E39" s="33" t="inlineStr">
        <is>
          <t>ยอดรวมทั้งสิ้น</t>
        </is>
      </c>
      <c r="F39" s="34">
        <f>F36+F38</f>
        <v/>
      </c>
    </row>
    <row r="40">
      <c r="E40" s="28" t="inlineStr">
        <is>
          <t>หัก ณ ที่จ่าย 3%</t>
        </is>
      </c>
      <c r="F40" s="31">
        <f>IF(I40="ใช่",-ROUND(F36*3%,2),0)</f>
        <v/>
      </c>
      <c r="H40" s="14" t="inlineStr">
        <is>
          <t>หัก ณ ที่จ่าย 3%</t>
        </is>
      </c>
      <c r="I40" s="32" t="inlineStr">
        <is>
          <t>ไม่ใช่</t>
        </is>
      </c>
    </row>
    <row r="41">
      <c r="E41" s="28" t="inlineStr">
        <is>
          <t>ยอดชำระสุทธิ</t>
        </is>
      </c>
      <c r="F41" s="29">
        <f>F39+F40</f>
        <v/>
      </c>
    </row>
    <row r="43">
      <c r="A43" s="17" t="inlineStr">
        <is>
          <t>ชำระโดย</t>
        </is>
      </c>
      <c r="D43" s="17" t="inlineStr">
        <is>
          <t>หมายเหตุ</t>
        </is>
      </c>
    </row>
    <row r="44" ht="17" customHeight="1">
      <c r="A44" s="35" t="inlineStr">
        <is>
          <t>☐ เงินสด
☐ โอนเงิน ธนาคาร [ชื่อธนาคาร]
☐ เช็ค เลขที่ [เลขที่เช็ค] ลงวันที่ [วันที่]</t>
        </is>
      </c>
      <c r="D44" s="35" t="inlineStr">
        <is>
          <t>ได้รับเงินตามรายการข้างต้นเรียบร้อยแล้ว
ใบเสร็จนี้จะสมบูรณ์เมื่อเรียกเก็บเงินตามเช็คได้แล้ว</t>
        </is>
      </c>
    </row>
    <row r="45" ht="17" customHeight="1"/>
    <row r="46" ht="17" customHeight="1"/>
    <row r="47" ht="17" customHeight="1"/>
    <row r="51" ht="34" customHeight="1">
      <c r="A51" s="36" t="n"/>
      <c r="B51" s="36" t="n"/>
      <c r="D51" s="36" t="n"/>
      <c r="E51" s="36" t="n"/>
      <c r="F51" s="36" t="n"/>
    </row>
    <row r="52">
      <c r="A52" s="37" t="inlineStr">
        <is>
          <t>ผู้รับเงิน</t>
        </is>
      </c>
      <c r="D52" s="37" t="inlineStr">
        <is>
          <t>ผู้มีอำนาจลงนาม</t>
        </is>
      </c>
    </row>
    <row r="53">
      <c r="A53" s="38" t="inlineStr">
        <is>
          <t>Krabi Digital Solutions</t>
        </is>
      </c>
      <c r="D53" s="38" t="inlineStr">
        <is>
          <t>Krabi Digital Solutions</t>
        </is>
      </c>
    </row>
    <row r="55">
      <c r="A55" s="39">
        <f>'ข้อมูลบริษัท'!$B$3&amp;" · "&amp;'ข้อมูลบริษัท'!$B$10&amp;" · "&amp;'ข้อมูลบริษัท'!$B$8&amp;" · LINE "&amp;'ข้อมูลบริษัท'!$B$11</f>
        <v/>
      </c>
      <c r="B55" s="40" t="n"/>
      <c r="C55" s="40" t="n"/>
      <c r="D55" s="40" t="n"/>
      <c r="E55" s="40" t="n"/>
      <c r="F55" s="40" t="n"/>
    </row>
  </sheetData>
  <mergeCells count="25">
    <mergeCell ref="A51:B51"/>
    <mergeCell ref="E5:F5"/>
    <mergeCell ref="D53:F53"/>
    <mergeCell ref="A55:F55"/>
    <mergeCell ref="E8:F8"/>
    <mergeCell ref="A6:B6"/>
    <mergeCell ref="A13:D13"/>
    <mergeCell ref="A7:B7"/>
    <mergeCell ref="D44:F47"/>
    <mergeCell ref="A15:D15"/>
    <mergeCell ref="A35:B36"/>
    <mergeCell ref="A44:B47"/>
    <mergeCell ref="C2:F3"/>
    <mergeCell ref="D51:F51"/>
    <mergeCell ref="E6:F6"/>
    <mergeCell ref="A5:B5"/>
    <mergeCell ref="A8:B8"/>
    <mergeCell ref="D1:F1"/>
    <mergeCell ref="A53:B53"/>
    <mergeCell ref="A52:B52"/>
    <mergeCell ref="E7:F7"/>
    <mergeCell ref="A12:D12"/>
    <mergeCell ref="D52:F52"/>
    <mergeCell ref="A9:B9"/>
    <mergeCell ref="A14:D14"/>
  </mergeCells>
  <dataValidations count="1">
    <dataValidation sqref="I38 I40" showDropDown="0" showInputMessage="0" showErrorMessage="0" allowBlank="0" type="list">
      <formula1>"ใช่,ไม่ใช่"</formula1>
    </dataValidation>
  </dataValidations>
  <printOptions horizontalCentered="1"/>
  <pageMargins left="0.55" right="0.55" top="0.5" bottom="0.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2026-09-29T07:55:28Z</dcterms:created>
  <dcterms:modified xmlns:dcterms="http://purl.org/dc/terms/" xmlns:xsi="http://www.w3.org/2001/XMLSchema-instance" xsi:type="dcterms:W3CDTF">2026-09-29T07:55:28Z</dcterms:modified>
</cp:coreProperties>
</file>